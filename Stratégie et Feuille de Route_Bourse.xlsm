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lekm\Desktop\Suivi_Patrimoine\PF_Action\01-Github\"/>
    </mc:Choice>
  </mc:AlternateContent>
  <xr:revisionPtr revIDLastSave="0" documentId="13_ncr:1_{7F1611D3-011E-4E51-807D-D72CF23D5B8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U" sheetId="4" r:id="rId1"/>
    <sheet name="Historique_Ordres" sheetId="1" r:id="rId2"/>
  </sheets>
  <definedNames>
    <definedName name="_xlnm._FilterDatabase" localSheetId="1" hidden="1">Historique_Ordres!$B$5:$B$18</definedName>
    <definedName name="_xleta.MONTH" hidden="1" xlm="1">#NAME?</definedName>
    <definedName name="_xleta.YEA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8" roundtripDataChecksum="/EdTiidHLXy2fExDXRiGJv9ABfpHwLeR7A9iyNbY7uY="/>
    </ext>
  </extLst>
</workbook>
</file>

<file path=xl/calcChain.xml><?xml version="1.0" encoding="utf-8"?>
<calcChain xmlns="http://schemas.openxmlformats.org/spreadsheetml/2006/main">
  <c r="E17" i="4" l="1" a="1"/>
  <c r="E17" i="4" s="1"/>
  <c r="F17" i="4" s="1"/>
  <c r="D17" i="4" a="1"/>
  <c r="D17" i="4" s="1"/>
  <c r="E16" i="4" a="1"/>
  <c r="E16" i="4" s="1"/>
  <c r="D16" i="4" a="1"/>
  <c r="D16" i="4" s="1"/>
  <c r="E15" i="4" a="1"/>
  <c r="E15" i="4" s="1"/>
  <c r="D15" i="4" a="1"/>
  <c r="D15" i="4" s="1"/>
  <c r="E8" i="4" a="1"/>
  <c r="E8" i="4" s="1"/>
  <c r="E14" i="4" a="1"/>
  <c r="E14" i="4" s="1"/>
  <c r="E6" i="4" a="1"/>
  <c r="E6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D9" i="4" a="1"/>
  <c r="D9" i="4" s="1"/>
  <c r="E7" i="4" a="1"/>
  <c r="E7" i="4" s="1"/>
  <c r="F7" i="4" s="1"/>
  <c r="D7" i="4" a="1"/>
  <c r="D7" i="4" s="1"/>
  <c r="D8" i="4" a="1"/>
  <c r="D8" i="4" s="1"/>
  <c r="F16" i="4" l="1"/>
  <c r="F15" i="4"/>
  <c r="D10" i="4" a="1"/>
  <c r="D10" i="4" s="1"/>
  <c r="F10" i="4" s="1"/>
  <c r="D12" i="4" a="1"/>
  <c r="D12" i="4" s="1"/>
  <c r="F12" i="4" s="1"/>
  <c r="D6" i="4" a="1"/>
  <c r="D6" i="4" s="1"/>
  <c r="F6" i="4" s="1"/>
  <c r="D13" i="4" a="1"/>
  <c r="D13" i="4" s="1"/>
  <c r="F13" i="4" s="1"/>
  <c r="D14" i="4" a="1"/>
  <c r="D14" i="4" s="1"/>
  <c r="F14" i="4" s="1"/>
  <c r="D11" i="4" a="1"/>
  <c r="D11" i="4" s="1"/>
  <c r="F11" i="4" s="1"/>
  <c r="F9" i="4"/>
  <c r="F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<sst xmlns="http://schemas.openxmlformats.org/spreadsheetml/2006/main" count="21" uniqueCount="19">
  <si>
    <t>Historique ordres</t>
  </si>
  <si>
    <t>Date exécution Ordres</t>
  </si>
  <si>
    <t>Compte</t>
  </si>
  <si>
    <t>Actif</t>
  </si>
  <si>
    <t>Type Ordre</t>
  </si>
  <si>
    <t>Nombre d'ordre</t>
  </si>
  <si>
    <t>Valeur total Ordres + frais</t>
  </si>
  <si>
    <t>PEA</t>
  </si>
  <si>
    <t>Au marché</t>
  </si>
  <si>
    <t>Action</t>
  </si>
  <si>
    <t>Catégorie</t>
  </si>
  <si>
    <t>Achat</t>
  </si>
  <si>
    <t>L'Air Liquide</t>
  </si>
  <si>
    <t>Type d'ordre</t>
  </si>
  <si>
    <t>Ticker</t>
  </si>
  <si>
    <t>AI.PA</t>
  </si>
  <si>
    <t>PRU</t>
  </si>
  <si>
    <t>Valeurs investie</t>
  </si>
  <si>
    <t>Nombre de titre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</si>
</sst>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&quot;€&quot;_-;\-* #,##0.00\ &quot;€&quot;_-;_-* &quot;-&quot;??\ &quot;€&quot;_-;_-@"/>
    <numFmt numFmtId="165" formatCode="[$-40C]d\-mmm\-yy;@"/>
  </numFmts>
  <fonts count="11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i/>
      <u/>
      <sz val="26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7" fillId="0" borderId="0" xfId="0" applyFont="1"/>
    <xf numFmtId="0" fontId="8" fillId="2" borderId="1" xfId="0" applyFont="1" applyFill="1" applyBorder="1" applyAlignment="1">
      <alignment horizontal="center" vertical="center"/>
    </xf>
    <xf numFmtId="164" fontId="9" fillId="0" borderId="1" xfId="0" applyNumberFormat="1" applyFont="1" applyBorder="1" applyAlignment="1">
      <alignment horizontal="left"/>
    </xf>
    <xf numFmtId="164" fontId="9" fillId="0" borderId="1" xfId="0" applyNumberFormat="1" applyFont="1" applyBorder="1" applyAlignment="1">
      <alignment horizontal="right"/>
    </xf>
    <xf numFmtId="165" fontId="9" fillId="0" borderId="1" xfId="0" applyNumberFormat="1" applyFont="1" applyBorder="1" applyAlignment="1">
      <alignment horizontal="left" indent="1"/>
    </xf>
    <xf numFmtId="0" fontId="9" fillId="0" borderId="1" xfId="0" applyFont="1" applyBorder="1" applyAlignment="1">
      <alignment horizontal="left" indent="1"/>
    </xf>
    <xf numFmtId="0" fontId="5" fillId="0" borderId="1" xfId="0" applyFont="1" applyBorder="1" applyAlignment="1">
      <alignment horizontal="left" indent="1"/>
    </xf>
    <xf numFmtId="0" fontId="3" fillId="0" borderId="1" xfId="0" applyFont="1" applyBorder="1" applyAlignment="1">
      <alignment horizontal="left" indent="1"/>
    </xf>
    <xf numFmtId="0" fontId="6" fillId="0" borderId="1" xfId="0" applyFont="1" applyBorder="1" applyAlignment="1">
      <alignment horizontal="left" indent="1"/>
    </xf>
    <xf numFmtId="0" fontId="4" fillId="0" borderId="1" xfId="0" applyFont="1" applyBorder="1" applyAlignment="1">
      <alignment horizontal="left" indent="1"/>
    </xf>
    <xf numFmtId="165" fontId="2" fillId="0" borderId="1" xfId="0" applyNumberFormat="1" applyFont="1" applyBorder="1" applyAlignment="1">
      <alignment horizontal="left" indent="1"/>
    </xf>
    <xf numFmtId="0" fontId="2" fillId="0" borderId="1" xfId="0" quotePrefix="1" applyFont="1" applyBorder="1" applyAlignment="1">
      <alignment horizontal="left" indent="1"/>
    </xf>
    <xf numFmtId="0" fontId="2" fillId="0" borderId="1" xfId="0" applyFont="1" applyBorder="1" applyAlignment="1">
      <alignment horizontal="left" indent="1"/>
    </xf>
    <xf numFmtId="0" fontId="10" fillId="3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left" indent="1"/>
    </xf>
    <xf numFmtId="44" fontId="0" fillId="0" borderId="2" xfId="0" applyNumberFormat="1" applyBorder="1"/>
    <xf numFmtId="1" fontId="0" fillId="0" borderId="2" xfId="0" applyNumberFormat="1" applyBorder="1" applyAlignment="1">
      <alignment horizontal="right" indent="1"/>
    </xf>
    <xf numFmtId="0" fontId="1" fillId="0" borderId="1" xfId="0" applyFont="1" applyBorder="1" applyAlignment="1">
      <alignment horizontal="left" indent="1"/>
    </xf>
    <xf numFmtId="165" fontId="1" fillId="0" borderId="1" xfId="0" applyNumberFormat="1" applyFont="1" applyBorder="1" applyAlignment="1">
      <alignment horizontal="left" inden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E0D85-8374-4F9E-B0F4-78F316349CE3}">
  <dimension ref="C5:F17"/>
  <sheetViews>
    <sheetView workbookViewId="0">
      <selection activeCell="E27" sqref="E27"/>
    </sheetView>
  </sheetViews>
  <sheetFormatPr baseColWidth="10" defaultRowHeight="15" x14ac:dyDescent="0.25"/>
  <cols>
    <col min="3" max="3" width="33.7109375" bestFit="1" customWidth="1"/>
    <col min="4" max="4" width="17.140625" customWidth="1"/>
    <col min="5" max="5" width="15.28515625" bestFit="1" customWidth="1"/>
  </cols>
  <sheetData>
    <row r="5" spans="3:6" x14ac:dyDescent="0.25">
      <c r="C5" s="14" t="s">
        <v>3</v>
      </c>
      <c r="D5" s="14" t="s">
        <v>17</v>
      </c>
      <c r="E5" s="14" t="s">
        <v>18</v>
      </c>
      <c r="F5" s="14" t="s">
        <v>16</v>
      </c>
    </row>
    <row r="6" spans="3:6" x14ac:dyDescent="0.25">
      <c r="C6" s="15" t="s">
        <v>12</v>
      </c>
      <c r="D6" s="16" cm="1">
        <f t="array" ref="D6">SUMPRODUCT((Historique_Ordres!J6:J30)*(Historique_Ordres!F6:F30=PRU!C6)*(Historique_Ordres!C6:C30="Achat"))</f>
        <v>36661.839999999997</v>
      </c>
      <c r="E6" s="17" cm="1">
        <f t="array" ref="E6">SUMPRODUCT((Historique_Ordres!I6:I30)*(Historique_Ordres!F6:F30=PRU!C6)*(Historique_Ordres!C6:C30="Achat"))-SUMPRODUCT((Historique_Ordres!I6:I30)*(Historique_Ordres!F6:F30=PRU!C6)*(Historique_Ordres!C6:C30="Vente"))</f>
        <v>500</v>
      </c>
      <c r="F6" s="16">
        <f>IF(E6=0,0,D6/E6)</f>
        <v>73.323679999999996</v>
      </c>
    </row>
    <row r="7" spans="3:6" x14ac:dyDescent="0.25">
      <c r="C7" s="6"/>
      <c r="D7" s="16" cm="1">
        <f t="array" ref="D7">SUMPRODUCT((Historique_Ordres!J7:J31)*(Historique_Ordres!F7:F31=PRU!C7)*(Historique_Ordres!C7:C31="Achat"))</f>
        <v>0</v>
      </c>
      <c r="E7" s="17" cm="1">
        <f t="array" ref="E7">SUMPRODUCT((Historique_Ordres!I7:I31)*(Historique_Ordres!F7:F31=PRU!C7)*(Historique_Ordres!C7:C31="Achat"))-SUMPRODUCT((Historique_Ordres!I7:I31)*(Historique_Ordres!F7:F31=PRU!C7)*(Historique_Ordres!C7:C31="Vente"))</f>
        <v>0</v>
      </c>
      <c r="F7" s="16">
        <f t="shared" ref="F7:F13" si="0">IF(E7=0,0,D7/E7)</f>
        <v>0</v>
      </c>
    </row>
    <row r="8" spans="3:6" x14ac:dyDescent="0.25">
      <c r="C8" s="6"/>
      <c r="D8" s="16" cm="1">
        <f t="array" ref="D8">SUMPRODUCT((Historique_Ordres!J8:J2998)*(Historique_Ordres!F8:F2998=PRU!C8)*(Historique_Ordres!C8:C2998="Achat"))</f>
        <v>0</v>
      </c>
      <c r="E8" s="17" cm="1">
        <f t="array" ref="E8">SUMPRODUCT((Historique_Ordres!I8:I2998)*(Historique_Ordres!F8:F2998=PRU!C8)*(Historique_Ordres!C8:C2998="Achat"))-SUMPRODUCT((Historique_Ordres!I8:I2998)*(Historique_Ordres!F8:F2998=PRU!C8)*(Historique_Ordres!C8:C2998="Vente"))</f>
        <v>0</v>
      </c>
      <c r="F8" s="16">
        <f t="shared" si="0"/>
        <v>0</v>
      </c>
    </row>
    <row r="9" spans="3:6" x14ac:dyDescent="0.25">
      <c r="C9" s="9"/>
      <c r="D9" s="16" cm="1">
        <f t="array" ref="D9">SUMPRODUCT((Historique_Ordres!J9:J33)*(Historique_Ordres!F9:F33=PRU!C9)*(Historique_Ordres!C9:C33="Achat"))</f>
        <v>0</v>
      </c>
      <c r="E9" s="17" cm="1">
        <f t="array" ref="E9">SUMPRODUCT((Historique_Ordres!I9:I33)*(Historique_Ordres!F9:F33=PRU!C9)*(Historique_Ordres!C9:C33="Achat"))-SUMPRODUCT((Historique_Ordres!I9:I33)*(Historique_Ordres!F9:F33=PRU!C9)*(Historique_Ordres!C9:C33="Vente"))</f>
        <v>0</v>
      </c>
      <c r="F9" s="16">
        <f t="shared" si="0"/>
        <v>0</v>
      </c>
    </row>
    <row r="10" spans="3:6" x14ac:dyDescent="0.25">
      <c r="C10" s="6"/>
      <c r="D10" s="16" cm="1">
        <f t="array" ref="D10">SUMPRODUCT((Historique_Ordres!J10:J34)*(Historique_Ordres!F10:F34=PRU!C10)*(Historique_Ordres!C10:C34="Achat"))</f>
        <v>0</v>
      </c>
      <c r="E10" s="17" cm="1">
        <f t="array" ref="E10">SUMPRODUCT((Historique_Ordres!I10:I34)*(Historique_Ordres!F10:F34=PRU!C10)*(Historique_Ordres!C10:C34="Achat"))-SUMPRODUCT((Historique_Ordres!I10:I34)*(Historique_Ordres!F10:F34=PRU!C10)*(Historique_Ordres!C10:C34="Vente"))</f>
        <v>0</v>
      </c>
      <c r="F10" s="16">
        <f t="shared" si="0"/>
        <v>0</v>
      </c>
    </row>
    <row r="11" spans="3:6" x14ac:dyDescent="0.25">
      <c r="C11" s="6"/>
      <c r="D11" s="16" cm="1">
        <f t="array" ref="D11">SUMPRODUCT((Historique_Ordres!J11:J35)*(Historique_Ordres!F11:F35=PRU!C11)*(Historique_Ordres!C11:C35="Achat"))</f>
        <v>0</v>
      </c>
      <c r="E11" s="17" cm="1">
        <f t="array" ref="E11">SUMPRODUCT((Historique_Ordres!I11:I35)*(Historique_Ordres!F11:F35=PRU!C11)*(Historique_Ordres!C11:C35="Achat"))-SUMPRODUCT((Historique_Ordres!I11:I35)*(Historique_Ordres!F11:F35=PRU!C11)*(Historique_Ordres!C11:C35="Vente"))</f>
        <v>0</v>
      </c>
      <c r="F11" s="16">
        <f t="shared" si="0"/>
        <v>0</v>
      </c>
    </row>
    <row r="12" spans="3:6" x14ac:dyDescent="0.25">
      <c r="C12" s="10"/>
      <c r="D12" s="16" cm="1">
        <f t="array" ref="D12">SUMPRODUCT((Historique_Ordres!J12:J36)*(Historique_Ordres!F12:F36=PRU!C12)*(Historique_Ordres!C12:C36="Achat"))</f>
        <v>0</v>
      </c>
      <c r="E12" s="17" cm="1">
        <f t="array" ref="E12">SUMPRODUCT((Historique_Ordres!I12:I36)*(Historique_Ordres!F12:F36=PRU!C12)*(Historique_Ordres!C12:C36="Achat"))-SUMPRODUCT((Historique_Ordres!I12:I36)*(Historique_Ordres!F12:F36=PRU!C12)*(Historique_Ordres!C12:C36="Vente"))</f>
        <v>0</v>
      </c>
      <c r="F12" s="16">
        <f t="shared" si="0"/>
        <v>0</v>
      </c>
    </row>
    <row r="13" spans="3:6" x14ac:dyDescent="0.25">
      <c r="C13" s="8"/>
      <c r="D13" s="16" cm="1">
        <f t="array" ref="D13">SUMPRODUCT((Historique_Ordres!J13:J37)*(Historique_Ordres!F13:F37=PRU!C13)*(Historique_Ordres!C13:C37="Achat"))</f>
        <v>0</v>
      </c>
      <c r="E13" s="17" cm="1">
        <f t="array" ref="E13">SUMPRODUCT((Historique_Ordres!I13:I37)*(Historique_Ordres!F13:F37=PRU!C13)*(Historique_Ordres!C13:C37="Achat"))-SUMPRODUCT((Historique_Ordres!I13:I37)*(Historique_Ordres!F13:F37=PRU!C13)*(Historique_Ordres!C13:C37="Vente"))</f>
        <v>0</v>
      </c>
      <c r="F13" s="16">
        <f t="shared" si="0"/>
        <v>0</v>
      </c>
    </row>
    <row r="14" spans="3:6" x14ac:dyDescent="0.25">
      <c r="C14" s="13"/>
      <c r="D14" s="16" cm="1">
        <f t="array" ref="D14">SUMPRODUCT((Historique_Ordres!J14:J38)*(Historique_Ordres!F14:F38=PRU!C14)*(Historique_Ordres!C14:C38="Achat"))</f>
        <v>0</v>
      </c>
      <c r="E14" s="17" cm="1">
        <f t="array" ref="E14">SUMPRODUCT((Historique_Ordres!I14:I38)*(Historique_Ordres!F14:F38=PRU!C14)*(Historique_Ordres!C14:C38="Achat"))-SUMPRODUCT((Historique_Ordres!I14:I38)*(Historique_Ordres!F14:F38=PRU!C14)*(Historique_Ordres!C14:C38="Vente"))</f>
        <v>0</v>
      </c>
      <c r="F14" s="16">
        <f t="shared" ref="F14" si="1">IF(E14=0,0,D14/E14)</f>
        <v>0</v>
      </c>
    </row>
    <row r="15" spans="3:6" x14ac:dyDescent="0.25">
      <c r="C15" s="6"/>
      <c r="D15" s="16" cm="1">
        <f t="array" ref="D15">SUMPRODUCT((Historique_Ordres!J15:J3000)*(Historique_Ordres!F15:F3000=PRU!C15)*(Historique_Ordres!C15:C3000="Achat"))</f>
        <v>0</v>
      </c>
      <c r="E15" s="17" cm="1">
        <f t="array" ref="E15">SUMPRODUCT((Historique_Ordres!I15:I3000)*(Historique_Ordres!F15:F3000=PRU!C15)*(Historique_Ordres!C15:C3000="Achat"))-SUMPRODUCT((Historique_Ordres!I15:I3000)*(Historique_Ordres!F15:F3000=PRU!C15)*(Historique_Ordres!C15:C3000="Vente"))</f>
        <v>0</v>
      </c>
      <c r="F15" s="16">
        <f t="shared" ref="F15" si="2">IF(E15=0,0,D15/E15)</f>
        <v>0</v>
      </c>
    </row>
    <row r="16" spans="3:6" x14ac:dyDescent="0.25">
      <c r="C16" s="18"/>
      <c r="D16" s="16" cm="1">
        <f t="array" ref="D16">SUMPRODUCT((Historique_Ordres!J16:J3001)*(Historique_Ordres!F16:F3001=PRU!C16)*(Historique_Ordres!C16:C3001="Achat"))</f>
        <v>0</v>
      </c>
      <c r="E16" s="17" cm="1">
        <f t="array" ref="E16">SUMPRODUCT((Historique_Ordres!I16:I3001)*(Historique_Ordres!F16:F3001=PRU!C16)*(Historique_Ordres!C16:C3001="Achat"))-SUMPRODUCT((Historique_Ordres!I16:I3001)*(Historique_Ordres!F16:F3001=PRU!C16)*(Historique_Ordres!C16:C3001="Vente"))</f>
        <v>0</v>
      </c>
      <c r="F16" s="16">
        <f t="shared" ref="F16" si="3">IF(E16=0,0,D16/E16)</f>
        <v>0</v>
      </c>
    </row>
    <row r="17" spans="3:6" x14ac:dyDescent="0.25">
      <c r="C17" s="18"/>
      <c r="D17" s="16" cm="1">
        <f t="array" ref="D17">SUMPRODUCT((Historique_Ordres!J17:J3002)*(Historique_Ordres!F17:F3002=PRU!C17)*(Historique_Ordres!C17:C3002="Achat"))</f>
        <v>0</v>
      </c>
      <c r="E17" s="17" cm="1">
        <f t="array" ref="E17">SUMPRODUCT((Historique_Ordres!I17:I3002)*(Historique_Ordres!F17:F3002=PRU!C17)*(Historique_Ordres!C17:C3002="Achat"))-SUMPRODUCT((Historique_Ordres!I17:I3002)*(Historique_Ordres!F17:F3002=PRU!C17)*(Historique_Ordres!C17:C3002="Vente"))</f>
        <v>0</v>
      </c>
      <c r="F17" s="16">
        <f t="shared" ref="F17" si="4">IF(E17=0,0,D17/E17)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1003"/>
  <sheetViews>
    <sheetView showGridLines="0" tabSelected="1" zoomScale="85" zoomScaleNormal="85" workbookViewId="0">
      <selection activeCell="G26" sqref="G26"/>
    </sheetView>
  </sheetViews>
  <sheetFormatPr baseColWidth="10" defaultColWidth="14.42578125" defaultRowHeight="15" customHeight="1" x14ac:dyDescent="0.25"/>
  <cols>
    <col min="1" max="1" width="10.7109375" customWidth="1"/>
    <col min="2" max="5" width="20.7109375" customWidth="1"/>
    <col min="6" max="7" width="35.7109375" customWidth="1"/>
    <col min="8" max="9" width="20.7109375" customWidth="1"/>
    <col min="10" max="10" width="25.7109375" customWidth="1"/>
    <col min="11" max="29" width="10.7109375" customWidth="1"/>
  </cols>
  <sheetData>
    <row r="2" spans="2:10" ht="27" customHeight="1" x14ac:dyDescent="0.5">
      <c r="B2" s="1" t="s">
        <v>0</v>
      </c>
      <c r="C2" s="1"/>
    </row>
    <row r="5" spans="2:10" x14ac:dyDescent="0.25">
      <c r="B5" s="2" t="s">
        <v>1</v>
      </c>
      <c r="C5" s="2" t="s">
        <v>13</v>
      </c>
      <c r="D5" s="2" t="s">
        <v>2</v>
      </c>
      <c r="E5" s="2" t="s">
        <v>10</v>
      </c>
      <c r="F5" s="2" t="s">
        <v>3</v>
      </c>
      <c r="G5" s="2" t="s">
        <v>14</v>
      </c>
      <c r="H5" s="2" t="s">
        <v>4</v>
      </c>
      <c r="I5" s="2" t="s">
        <v>5</v>
      </c>
      <c r="J5" s="2" t="s">
        <v>6</v>
      </c>
    </row>
    <row r="6" spans="2:10" x14ac:dyDescent="0.25">
      <c r="B6" s="19">
        <v>42614</v>
      </c>
      <c r="C6" s="19" t="s">
        <v>11</v>
      </c>
      <c r="D6" s="18" t="s">
        <v>7</v>
      </c>
      <c r="E6" s="18" t="s">
        <v>9</v>
      </c>
      <c r="F6" s="18" t="s">
        <v>12</v>
      </c>
      <c r="G6" s="18" t="s">
        <v>15</v>
      </c>
      <c r="H6" s="18" t="s">
        <v>8</v>
      </c>
      <c r="I6" s="6">
        <v>500</v>
      </c>
      <c r="J6" s="3">
        <v>36661.839999999997</v>
      </c>
    </row>
    <row r="7" spans="2:10" x14ac:dyDescent="0.25">
      <c r="B7" s="19"/>
      <c r="C7" s="19"/>
      <c r="D7" s="6"/>
      <c r="E7" s="7"/>
      <c r="F7" s="6"/>
      <c r="G7" s="6"/>
      <c r="H7" s="6"/>
      <c r="I7" s="6"/>
      <c r="J7" s="4"/>
    </row>
    <row r="8" spans="2:10" x14ac:dyDescent="0.25">
      <c r="B8" s="5"/>
      <c r="C8" s="11"/>
      <c r="D8" s="6"/>
      <c r="E8" s="7"/>
      <c r="F8" s="6"/>
      <c r="G8" s="6"/>
      <c r="H8" s="6"/>
      <c r="I8" s="6"/>
      <c r="J8" s="4"/>
    </row>
    <row r="9" spans="2:10" x14ac:dyDescent="0.25">
      <c r="B9" s="5"/>
      <c r="C9" s="11"/>
      <c r="D9" s="6"/>
      <c r="E9" s="7"/>
      <c r="F9" s="6"/>
      <c r="G9" s="6"/>
      <c r="H9" s="6"/>
      <c r="I9" s="6"/>
      <c r="J9" s="4"/>
    </row>
    <row r="10" spans="2:10" x14ac:dyDescent="0.25">
      <c r="B10" s="5"/>
      <c r="C10" s="11"/>
      <c r="D10" s="6"/>
      <c r="E10" s="7"/>
      <c r="F10" s="6"/>
      <c r="G10" s="6"/>
      <c r="H10" s="6"/>
      <c r="I10" s="6"/>
      <c r="J10" s="4"/>
    </row>
    <row r="11" spans="2:10" x14ac:dyDescent="0.25">
      <c r="B11" s="5"/>
      <c r="C11" s="11"/>
      <c r="D11" s="6"/>
      <c r="E11" s="7"/>
      <c r="F11" s="6"/>
      <c r="G11" s="6"/>
      <c r="H11" s="6"/>
      <c r="I11" s="6"/>
      <c r="J11" s="4"/>
    </row>
    <row r="12" spans="2:10" x14ac:dyDescent="0.25">
      <c r="B12" s="5"/>
      <c r="C12" s="11"/>
      <c r="D12" s="6"/>
      <c r="E12" s="7"/>
      <c r="F12" s="6"/>
      <c r="G12" s="6"/>
      <c r="H12" s="6"/>
      <c r="I12" s="6"/>
      <c r="J12" s="4"/>
    </row>
    <row r="13" spans="2:10" x14ac:dyDescent="0.25">
      <c r="B13" s="5"/>
      <c r="C13" s="11"/>
      <c r="D13" s="6"/>
      <c r="E13" s="7"/>
      <c r="F13" s="6"/>
      <c r="G13" s="6"/>
      <c r="H13" s="6"/>
      <c r="I13" s="6"/>
      <c r="J13" s="4"/>
    </row>
    <row r="14" spans="2:10" x14ac:dyDescent="0.25">
      <c r="B14" s="5"/>
      <c r="C14" s="11"/>
      <c r="D14" s="6"/>
      <c r="E14" s="7"/>
      <c r="F14" s="6"/>
      <c r="G14" s="6"/>
      <c r="H14" s="6"/>
      <c r="I14" s="6"/>
      <c r="J14" s="4"/>
    </row>
    <row r="15" spans="2:10" x14ac:dyDescent="0.25">
      <c r="B15" s="5"/>
      <c r="C15" s="11"/>
      <c r="D15" s="6"/>
      <c r="E15" s="7"/>
      <c r="F15" s="8"/>
      <c r="G15" s="6"/>
      <c r="H15" s="6"/>
      <c r="I15" s="6"/>
      <c r="J15" s="4"/>
    </row>
    <row r="16" spans="2:10" x14ac:dyDescent="0.25">
      <c r="B16" s="5"/>
      <c r="C16" s="11"/>
      <c r="D16" s="6"/>
      <c r="E16" s="7"/>
      <c r="F16" s="6"/>
      <c r="G16" s="6"/>
      <c r="H16" s="6"/>
      <c r="I16" s="6"/>
      <c r="J16" s="4"/>
    </row>
    <row r="17" spans="2:10" x14ac:dyDescent="0.25">
      <c r="B17" s="5"/>
      <c r="C17" s="11"/>
      <c r="D17" s="6"/>
      <c r="E17" s="7"/>
      <c r="F17" s="6"/>
      <c r="G17" s="6"/>
      <c r="H17" s="6"/>
      <c r="I17" s="6"/>
      <c r="J17" s="4"/>
    </row>
    <row r="18" spans="2:10" x14ac:dyDescent="0.25">
      <c r="B18" s="5"/>
      <c r="C18" s="11"/>
      <c r="D18" s="6"/>
      <c r="E18" s="7"/>
      <c r="F18" s="9"/>
      <c r="G18" s="6"/>
      <c r="H18" s="6"/>
      <c r="I18" s="6"/>
      <c r="J18" s="4"/>
    </row>
    <row r="19" spans="2:10" ht="15" customHeight="1" x14ac:dyDescent="0.25">
      <c r="B19" s="5"/>
      <c r="C19" s="11"/>
      <c r="D19" s="6"/>
      <c r="E19" s="7"/>
      <c r="F19" s="6"/>
      <c r="G19" s="6"/>
      <c r="H19" s="6"/>
      <c r="I19" s="6"/>
      <c r="J19" s="4"/>
    </row>
    <row r="20" spans="2:10" ht="15" customHeight="1" x14ac:dyDescent="0.25">
      <c r="B20" s="5"/>
      <c r="C20" s="11"/>
      <c r="D20" s="6"/>
      <c r="E20" s="7"/>
      <c r="F20" s="6"/>
      <c r="G20" s="6"/>
      <c r="H20" s="6"/>
      <c r="I20" s="6"/>
      <c r="J20" s="4"/>
    </row>
    <row r="21" spans="2:10" ht="15" customHeight="1" x14ac:dyDescent="0.25">
      <c r="B21" s="5"/>
      <c r="C21" s="11"/>
      <c r="D21" s="6"/>
      <c r="E21" s="7"/>
      <c r="F21" s="10"/>
      <c r="G21" s="6"/>
      <c r="H21" s="6"/>
      <c r="I21" s="6"/>
      <c r="J21" s="4"/>
    </row>
    <row r="22" spans="2:10" ht="15" customHeight="1" x14ac:dyDescent="0.25">
      <c r="B22" s="5"/>
      <c r="C22" s="11"/>
      <c r="D22" s="6"/>
      <c r="E22" s="7"/>
      <c r="F22" s="8"/>
      <c r="G22" s="6"/>
      <c r="H22" s="6"/>
      <c r="I22" s="8"/>
      <c r="J22" s="4"/>
    </row>
    <row r="23" spans="2:10" x14ac:dyDescent="0.25">
      <c r="B23" s="5"/>
      <c r="C23" s="11"/>
      <c r="D23" s="6"/>
      <c r="E23" s="7"/>
      <c r="F23" s="6"/>
      <c r="G23" s="18"/>
      <c r="H23" s="6"/>
      <c r="I23" s="6"/>
      <c r="J23" s="4"/>
    </row>
    <row r="24" spans="2:10" ht="15" customHeight="1" x14ac:dyDescent="0.25">
      <c r="B24" s="5"/>
      <c r="C24" s="11"/>
      <c r="D24" s="6"/>
      <c r="E24" s="7"/>
      <c r="F24" s="6"/>
      <c r="G24" s="6"/>
      <c r="H24" s="6"/>
      <c r="I24" s="6"/>
      <c r="J24" s="4"/>
    </row>
    <row r="25" spans="2:10" ht="15" customHeight="1" x14ac:dyDescent="0.25">
      <c r="B25" s="5"/>
      <c r="C25" s="11"/>
      <c r="D25" s="6"/>
      <c r="E25" s="7"/>
      <c r="F25" s="8"/>
      <c r="G25" s="6"/>
      <c r="H25" s="6"/>
      <c r="I25" s="6"/>
      <c r="J25" s="4"/>
    </row>
    <row r="26" spans="2:10" ht="15.75" customHeight="1" x14ac:dyDescent="0.25">
      <c r="B26" s="5"/>
      <c r="C26" s="11"/>
      <c r="D26" s="6"/>
      <c r="E26" s="7"/>
      <c r="F26" s="8"/>
      <c r="G26" s="6"/>
      <c r="H26" s="6"/>
      <c r="I26" s="12"/>
      <c r="J26" s="4"/>
    </row>
    <row r="27" spans="2:10" ht="15.75" customHeight="1" x14ac:dyDescent="0.25">
      <c r="B27" s="5"/>
      <c r="C27" s="11"/>
      <c r="D27" s="6"/>
      <c r="E27" s="7"/>
      <c r="F27" s="13"/>
      <c r="G27" s="6"/>
      <c r="H27" s="6"/>
      <c r="I27" s="13"/>
      <c r="J27" s="4"/>
    </row>
    <row r="28" spans="2:10" ht="15.75" customHeight="1" x14ac:dyDescent="0.25">
      <c r="B28" s="5"/>
      <c r="C28" s="11"/>
      <c r="D28" s="6"/>
      <c r="E28" s="7"/>
      <c r="F28" s="13"/>
      <c r="G28" s="6"/>
      <c r="H28" s="6"/>
      <c r="I28" s="13"/>
      <c r="J28" s="4"/>
    </row>
    <row r="29" spans="2:10" ht="15.75" customHeight="1" x14ac:dyDescent="0.25">
      <c r="B29" s="5"/>
      <c r="C29" s="11"/>
      <c r="D29" s="6"/>
      <c r="E29" s="7"/>
      <c r="F29" s="6"/>
      <c r="G29" s="18"/>
      <c r="H29" s="6"/>
      <c r="I29" s="6"/>
      <c r="J29" s="4"/>
    </row>
    <row r="30" spans="2:10" ht="15.75" customHeight="1" x14ac:dyDescent="0.25">
      <c r="B30" s="5"/>
      <c r="C30" s="11"/>
      <c r="D30" s="6"/>
      <c r="E30" s="7"/>
      <c r="F30" s="8"/>
      <c r="G30" s="6"/>
      <c r="H30" s="6"/>
      <c r="I30" s="13"/>
      <c r="J30" s="4"/>
    </row>
    <row r="31" spans="2:10" ht="15.75" customHeight="1" x14ac:dyDescent="0.25">
      <c r="B31" s="5"/>
      <c r="C31" s="11"/>
      <c r="D31" s="6"/>
      <c r="E31" s="7"/>
      <c r="F31" s="6"/>
      <c r="G31" s="6"/>
      <c r="H31" s="6"/>
      <c r="I31" s="13"/>
      <c r="J31" s="4"/>
    </row>
    <row r="32" spans="2:10" ht="15.75" customHeight="1" x14ac:dyDescent="0.25">
      <c r="B32" s="5"/>
      <c r="C32" s="11"/>
      <c r="D32" s="6"/>
      <c r="E32" s="7"/>
      <c r="F32" s="9"/>
      <c r="G32" s="6"/>
      <c r="H32" s="6"/>
      <c r="I32" s="6"/>
      <c r="J32" s="4"/>
    </row>
    <row r="33" spans="2:10" ht="15.75" customHeight="1" x14ac:dyDescent="0.25">
      <c r="B33" s="5"/>
      <c r="C33" s="11"/>
      <c r="D33" s="6"/>
      <c r="E33" s="7"/>
      <c r="F33" s="9"/>
      <c r="G33" s="6"/>
      <c r="H33" s="6"/>
      <c r="I33" s="6"/>
      <c r="J33" s="4"/>
    </row>
    <row r="34" spans="2:10" ht="15.75" customHeight="1" x14ac:dyDescent="0.25">
      <c r="B34" s="5"/>
      <c r="C34" s="11"/>
      <c r="D34" s="6"/>
      <c r="E34" s="7"/>
      <c r="F34" s="9"/>
      <c r="G34" s="6"/>
      <c r="H34" s="6"/>
      <c r="I34" s="6"/>
      <c r="J34" s="4"/>
    </row>
    <row r="35" spans="2:10" ht="15.75" customHeight="1" x14ac:dyDescent="0.25">
      <c r="B35" s="5"/>
      <c r="C35" s="11"/>
      <c r="D35" s="6"/>
      <c r="E35" s="7"/>
      <c r="F35" s="9"/>
      <c r="G35" s="6"/>
      <c r="H35" s="6"/>
      <c r="I35" s="6"/>
      <c r="J35" s="4"/>
    </row>
    <row r="36" spans="2:10" ht="15.75" customHeight="1" x14ac:dyDescent="0.25">
      <c r="B36" s="5"/>
      <c r="C36" s="11"/>
      <c r="D36" s="6"/>
      <c r="E36" s="7"/>
      <c r="F36" s="9"/>
      <c r="G36" s="6"/>
      <c r="H36" s="6"/>
      <c r="I36" s="6"/>
      <c r="J36" s="4"/>
    </row>
    <row r="37" spans="2:10" ht="15.75" customHeight="1" x14ac:dyDescent="0.25">
      <c r="B37" s="5"/>
      <c r="C37" s="11"/>
      <c r="D37" s="6"/>
      <c r="E37" s="7"/>
      <c r="F37" s="9"/>
      <c r="G37" s="6"/>
      <c r="H37" s="6"/>
      <c r="I37" s="6"/>
      <c r="J37" s="4"/>
    </row>
    <row r="38" spans="2:10" ht="15.75" customHeight="1" x14ac:dyDescent="0.25">
      <c r="B38" s="5"/>
      <c r="C38" s="11"/>
      <c r="D38" s="6"/>
      <c r="E38" s="7"/>
      <c r="F38" s="9"/>
      <c r="G38" s="6"/>
      <c r="H38" s="6"/>
      <c r="I38" s="6"/>
      <c r="J38" s="4"/>
    </row>
    <row r="39" spans="2:10" ht="15.75" customHeight="1" x14ac:dyDescent="0.25">
      <c r="B39" s="5"/>
      <c r="C39" s="11"/>
      <c r="D39" s="6"/>
      <c r="E39" s="7"/>
      <c r="F39" s="9"/>
      <c r="G39" s="6"/>
      <c r="H39" s="6"/>
      <c r="I39" s="6"/>
      <c r="J39" s="4"/>
    </row>
    <row r="40" spans="2:10" ht="15.75" customHeight="1" x14ac:dyDescent="0.25">
      <c r="B40" s="5"/>
      <c r="C40" s="11"/>
      <c r="D40" s="6"/>
      <c r="E40" s="7"/>
      <c r="F40" s="6"/>
      <c r="G40" s="6"/>
      <c r="H40" s="6"/>
      <c r="I40" s="6"/>
      <c r="J40" s="4"/>
    </row>
    <row r="41" spans="2:10" ht="15.75" customHeight="1" x14ac:dyDescent="0.25">
      <c r="B41" s="5"/>
      <c r="C41" s="11"/>
      <c r="D41" s="6"/>
      <c r="E41" s="7"/>
      <c r="F41" s="13"/>
      <c r="G41" s="6"/>
      <c r="H41" s="6"/>
      <c r="I41" s="13"/>
      <c r="J41" s="4"/>
    </row>
    <row r="42" spans="2:10" ht="15.75" customHeight="1" x14ac:dyDescent="0.25">
      <c r="B42" s="5"/>
      <c r="C42" s="11"/>
      <c r="D42" s="6"/>
      <c r="E42" s="7"/>
      <c r="F42" s="13"/>
      <c r="G42" s="6"/>
      <c r="H42" s="6"/>
      <c r="I42" s="13"/>
      <c r="J42" s="4"/>
    </row>
    <row r="43" spans="2:10" ht="15.75" customHeight="1" x14ac:dyDescent="0.25">
      <c r="B43" s="5"/>
      <c r="C43" s="11"/>
      <c r="D43" s="6"/>
      <c r="E43" s="7"/>
      <c r="F43" s="18"/>
      <c r="G43" s="18"/>
      <c r="H43" s="6"/>
      <c r="I43" s="13"/>
      <c r="J43" s="4"/>
    </row>
    <row r="44" spans="2:10" ht="15.75" customHeight="1" x14ac:dyDescent="0.25">
      <c r="B44" s="5"/>
      <c r="C44" s="11"/>
      <c r="D44" s="18"/>
      <c r="E44" s="7"/>
      <c r="F44" s="6"/>
      <c r="G44" s="18"/>
      <c r="H44" s="6"/>
      <c r="I44" s="13"/>
      <c r="J44" s="4"/>
    </row>
    <row r="45" spans="2:10" ht="15.75" customHeight="1" x14ac:dyDescent="0.25">
      <c r="B45" s="5"/>
      <c r="C45" s="11"/>
      <c r="D45" s="6"/>
      <c r="E45" s="7"/>
      <c r="F45" s="18"/>
      <c r="G45" s="18"/>
      <c r="H45" s="6"/>
      <c r="I45" s="13"/>
      <c r="J45" s="4"/>
    </row>
    <row r="46" spans="2:10" ht="15.75" customHeight="1" x14ac:dyDescent="0.25">
      <c r="B46" s="5"/>
      <c r="C46" s="11"/>
      <c r="D46" s="6"/>
      <c r="E46" s="7"/>
      <c r="F46" s="6"/>
      <c r="G46" s="18"/>
      <c r="H46" s="6"/>
      <c r="I46" s="13"/>
      <c r="J46" s="4"/>
    </row>
    <row r="47" spans="2:10" ht="15.75" customHeight="1" x14ac:dyDescent="0.25">
      <c r="B47" s="5"/>
      <c r="C47" s="11"/>
      <c r="D47" s="6"/>
      <c r="E47" s="7"/>
      <c r="F47" s="18"/>
      <c r="G47" s="18"/>
      <c r="H47" s="6"/>
      <c r="I47" s="13"/>
      <c r="J47" s="4"/>
    </row>
    <row r="48" spans="2:10" ht="15.75" customHeight="1" x14ac:dyDescent="0.25">
      <c r="B48" s="5"/>
      <c r="C48" s="11"/>
      <c r="D48" s="6"/>
      <c r="E48" s="7"/>
      <c r="F48" s="18"/>
      <c r="G48" s="18"/>
      <c r="H48" s="6"/>
      <c r="I48" s="13"/>
      <c r="J48" s="4"/>
    </row>
    <row r="49" spans="2:10" ht="15.75" customHeight="1" x14ac:dyDescent="0.25">
      <c r="B49" s="5"/>
      <c r="C49" s="11"/>
      <c r="D49" s="6"/>
      <c r="E49" s="7"/>
      <c r="F49" s="18"/>
      <c r="G49" s="18"/>
      <c r="H49" s="6"/>
      <c r="I49" s="13"/>
      <c r="J49" s="4"/>
    </row>
    <row r="50" spans="2:10" ht="15.75" customHeight="1" x14ac:dyDescent="0.25">
      <c r="B50" s="5"/>
      <c r="C50" s="11"/>
      <c r="D50" s="6"/>
      <c r="E50" s="7"/>
      <c r="F50" s="18"/>
      <c r="G50" s="18"/>
      <c r="H50" s="6"/>
      <c r="I50" s="13"/>
      <c r="J50" s="4"/>
    </row>
    <row r="51" spans="2:10" ht="15.75" customHeight="1" x14ac:dyDescent="0.25">
      <c r="B51" s="5"/>
      <c r="C51" s="11"/>
      <c r="D51" s="18"/>
      <c r="E51" s="18"/>
      <c r="F51" s="6"/>
      <c r="G51" s="18"/>
      <c r="H51" s="6"/>
      <c r="I51" s="13"/>
      <c r="J51" s="4"/>
    </row>
    <row r="52" spans="2:10" ht="15.75" customHeight="1" x14ac:dyDescent="0.25">
      <c r="B52" s="5"/>
      <c r="C52" s="11"/>
      <c r="D52" s="18"/>
      <c r="E52" s="18"/>
      <c r="F52" s="6"/>
      <c r="G52" s="18"/>
      <c r="H52" s="6"/>
      <c r="I52" s="13"/>
      <c r="J52" s="4"/>
    </row>
    <row r="53" spans="2:10" ht="15.75" customHeight="1" x14ac:dyDescent="0.25">
      <c r="B53" s="5"/>
      <c r="C53" s="11"/>
      <c r="D53" s="18"/>
      <c r="E53" s="18"/>
      <c r="F53" s="6"/>
      <c r="G53" s="18"/>
      <c r="H53" s="6"/>
      <c r="I53" s="13"/>
      <c r="J53" s="4"/>
    </row>
    <row r="54" spans="2:10" ht="15.75" customHeight="1" x14ac:dyDescent="0.25">
      <c r="B54" s="5"/>
      <c r="C54" s="11"/>
      <c r="D54" s="18"/>
      <c r="E54" s="18"/>
      <c r="F54" s="6"/>
      <c r="G54" s="18"/>
      <c r="H54" s="6"/>
      <c r="I54" s="13"/>
      <c r="J54" s="4"/>
    </row>
    <row r="55" spans="2:10" ht="15.75" customHeight="1" x14ac:dyDescent="0.25">
      <c r="B55" s="5"/>
      <c r="C55" s="11"/>
      <c r="D55" s="18"/>
      <c r="E55" s="18"/>
      <c r="F55" s="6"/>
      <c r="G55" s="18"/>
      <c r="H55" s="6"/>
      <c r="I55" s="13"/>
      <c r="J55" s="4"/>
    </row>
    <row r="56" spans="2:10" ht="15.75" customHeight="1" x14ac:dyDescent="0.25">
      <c r="B56" s="5"/>
      <c r="C56" s="11"/>
      <c r="D56" s="18"/>
      <c r="E56" s="18"/>
      <c r="F56" s="6"/>
      <c r="G56" s="18"/>
      <c r="H56" s="6"/>
      <c r="I56" s="13"/>
      <c r="J56" s="4"/>
    </row>
    <row r="57" spans="2:10" ht="15.75" customHeight="1" x14ac:dyDescent="0.25">
      <c r="B57" s="5"/>
      <c r="C57" s="11"/>
      <c r="D57" s="18"/>
      <c r="E57" s="18"/>
      <c r="F57" s="6"/>
      <c r="G57" s="18"/>
      <c r="H57" s="6"/>
      <c r="I57" s="13"/>
      <c r="J57" s="4"/>
    </row>
    <row r="58" spans="2:10" ht="15.75" customHeight="1" x14ac:dyDescent="0.25">
      <c r="B58" s="5"/>
      <c r="C58" s="11"/>
      <c r="D58" s="18"/>
      <c r="E58" s="18"/>
      <c r="F58" s="6"/>
      <c r="G58" s="18"/>
      <c r="H58" s="6"/>
      <c r="I58" s="13"/>
      <c r="J58" s="4"/>
    </row>
    <row r="59" spans="2:10" ht="15.75" customHeight="1" x14ac:dyDescent="0.25">
      <c r="B59" s="5"/>
      <c r="C59" s="11"/>
      <c r="D59" s="18"/>
      <c r="E59" s="18"/>
      <c r="F59" s="6"/>
      <c r="G59" s="18"/>
      <c r="H59" s="6"/>
      <c r="I59" s="13"/>
      <c r="J59" s="4"/>
    </row>
    <row r="60" spans="2:10" ht="15.75" customHeight="1" x14ac:dyDescent="0.25">
      <c r="B60" s="5"/>
      <c r="C60" s="11"/>
      <c r="D60" s="18"/>
      <c r="E60" s="18"/>
      <c r="F60" s="6"/>
      <c r="G60" s="18"/>
      <c r="H60" s="6"/>
      <c r="I60" s="13"/>
      <c r="J60" s="4"/>
    </row>
    <row r="61" spans="2:10" ht="15.75" customHeight="1" x14ac:dyDescent="0.25">
      <c r="B61" s="5"/>
      <c r="C61" s="11"/>
      <c r="D61" s="18"/>
      <c r="E61" s="18"/>
      <c r="F61" s="6"/>
      <c r="G61" s="18"/>
      <c r="H61" s="6"/>
      <c r="I61" s="13"/>
      <c r="J61" s="4"/>
    </row>
    <row r="62" spans="2:10" ht="15.75" customHeight="1" x14ac:dyDescent="0.25">
      <c r="B62" s="5"/>
      <c r="C62" s="11"/>
      <c r="D62" s="18"/>
      <c r="E62" s="18"/>
      <c r="F62" s="6"/>
      <c r="G62" s="18"/>
      <c r="H62" s="6"/>
      <c r="I62" s="13"/>
      <c r="J62" s="4"/>
    </row>
    <row r="63" spans="2:10" ht="15.75" customHeight="1" x14ac:dyDescent="0.25">
      <c r="B63" s="5"/>
      <c r="C63" s="11"/>
      <c r="D63" s="18"/>
      <c r="E63" s="18"/>
      <c r="F63" s="6"/>
      <c r="G63" s="18"/>
      <c r="H63" s="6"/>
      <c r="I63" s="13"/>
      <c r="J63" s="4"/>
    </row>
    <row r="64" spans="2:10" ht="15.75" customHeight="1" x14ac:dyDescent="0.25">
      <c r="B64" s="5"/>
      <c r="C64" s="11"/>
      <c r="D64" s="18"/>
      <c r="E64" s="18"/>
      <c r="F64" s="6"/>
      <c r="G64" s="18"/>
      <c r="H64" s="6"/>
      <c r="I64" s="13"/>
      <c r="J64" s="4"/>
    </row>
    <row r="65" spans="2:10" ht="15.75" customHeight="1" x14ac:dyDescent="0.25">
      <c r="B65" s="5"/>
      <c r="C65" s="11"/>
      <c r="D65" s="18"/>
      <c r="E65" s="18"/>
      <c r="F65" s="6"/>
      <c r="G65" s="18"/>
      <c r="H65" s="6"/>
      <c r="I65" s="13"/>
      <c r="J65" s="4"/>
    </row>
    <row r="66" spans="2:10" ht="15.75" customHeight="1" x14ac:dyDescent="0.25">
      <c r="B66" s="5"/>
      <c r="C66" s="11"/>
      <c r="D66" s="18"/>
      <c r="E66" s="18"/>
      <c r="F66" s="6"/>
      <c r="G66" s="18"/>
      <c r="H66" s="6"/>
      <c r="I66" s="13"/>
      <c r="J66" s="4"/>
    </row>
    <row r="67" spans="2:10" ht="15.75" customHeight="1" x14ac:dyDescent="0.25">
      <c r="B67" s="5"/>
      <c r="C67" s="11"/>
      <c r="D67" s="18"/>
      <c r="E67" s="18"/>
      <c r="F67" s="6"/>
      <c r="G67" s="18"/>
      <c r="H67" s="6"/>
      <c r="I67" s="13"/>
      <c r="J67" s="4"/>
    </row>
    <row r="68" spans="2:10" ht="15.75" customHeight="1" x14ac:dyDescent="0.25">
      <c r="B68" s="5"/>
      <c r="C68" s="11"/>
      <c r="D68" s="18"/>
      <c r="E68" s="18"/>
      <c r="F68" s="6"/>
      <c r="G68" s="18"/>
      <c r="H68" s="6"/>
      <c r="I68" s="13"/>
      <c r="J68" s="4"/>
    </row>
    <row r="69" spans="2:10" ht="15.75" customHeight="1" x14ac:dyDescent="0.25">
      <c r="B69" s="5"/>
      <c r="C69" s="11"/>
      <c r="D69" s="18"/>
      <c r="E69" s="18"/>
      <c r="F69" s="6"/>
      <c r="G69" s="18"/>
      <c r="H69" s="6"/>
      <c r="I69" s="13"/>
      <c r="J69" s="4"/>
    </row>
    <row r="70" spans="2:10" ht="15.75" customHeight="1" x14ac:dyDescent="0.25">
      <c r="B70" s="5"/>
      <c r="C70" s="11"/>
      <c r="D70" s="18"/>
      <c r="E70" s="18"/>
      <c r="F70" s="6"/>
      <c r="G70" s="18"/>
      <c r="H70" s="6"/>
      <c r="I70" s="13"/>
      <c r="J70" s="4"/>
    </row>
    <row r="71" spans="2:10" ht="15.75" customHeight="1" x14ac:dyDescent="0.25">
      <c r="B71" s="5"/>
      <c r="C71" s="11"/>
      <c r="D71" s="18"/>
      <c r="E71" s="18"/>
      <c r="F71" s="6"/>
      <c r="G71" s="18"/>
      <c r="H71" s="6"/>
      <c r="I71" s="13"/>
      <c r="J71" s="4"/>
    </row>
    <row r="72" spans="2:10" ht="15.75" customHeight="1" x14ac:dyDescent="0.25">
      <c r="B72" s="5"/>
      <c r="C72" s="11"/>
      <c r="D72" s="18"/>
      <c r="E72" s="18"/>
      <c r="F72" s="6"/>
      <c r="G72" s="18"/>
      <c r="H72" s="6"/>
      <c r="I72" s="13"/>
      <c r="J72" s="4"/>
    </row>
    <row r="73" spans="2:10" ht="15.75" customHeight="1" x14ac:dyDescent="0.25">
      <c r="B73" s="5"/>
      <c r="C73" s="11"/>
      <c r="D73" s="18"/>
      <c r="E73" s="18"/>
      <c r="F73" s="6"/>
      <c r="G73" s="18"/>
      <c r="H73" s="6"/>
      <c r="I73" s="13"/>
      <c r="J73" s="4"/>
    </row>
    <row r="74" spans="2:10" ht="15.75" customHeight="1" x14ac:dyDescent="0.25">
      <c r="B74" s="5"/>
      <c r="C74" s="11"/>
      <c r="D74" s="18"/>
      <c r="E74" s="18"/>
      <c r="F74" s="6"/>
      <c r="G74" s="18"/>
      <c r="H74" s="6"/>
      <c r="I74" s="13"/>
      <c r="J74" s="4"/>
    </row>
    <row r="75" spans="2:10" ht="15.75" customHeight="1" x14ac:dyDescent="0.25">
      <c r="B75" s="5"/>
      <c r="C75" s="11"/>
      <c r="D75" s="18"/>
      <c r="E75" s="18"/>
      <c r="F75" s="6"/>
      <c r="G75" s="18"/>
      <c r="H75" s="6"/>
      <c r="I75" s="13"/>
      <c r="J75" s="4"/>
    </row>
    <row r="76" spans="2:10" ht="15.75" customHeight="1" x14ac:dyDescent="0.25">
      <c r="B76" s="5"/>
      <c r="C76" s="11"/>
      <c r="D76" s="18"/>
      <c r="E76" s="18"/>
      <c r="F76" s="6"/>
      <c r="G76" s="18"/>
      <c r="H76" s="6"/>
      <c r="I76" s="13"/>
      <c r="J76" s="4"/>
    </row>
    <row r="77" spans="2:10" ht="15.75" customHeight="1" x14ac:dyDescent="0.25">
      <c r="B77" s="5"/>
      <c r="C77" s="11"/>
      <c r="D77" s="18"/>
      <c r="E77" s="18"/>
      <c r="F77" s="6"/>
      <c r="G77" s="18"/>
      <c r="H77" s="6"/>
      <c r="I77" s="13"/>
      <c r="J77" s="4"/>
    </row>
    <row r="78" spans="2:10" ht="15.75" customHeight="1" x14ac:dyDescent="0.25">
      <c r="B78" s="5"/>
      <c r="C78" s="11"/>
      <c r="D78" s="18"/>
      <c r="E78" s="18"/>
      <c r="F78" s="6"/>
      <c r="G78" s="18"/>
      <c r="H78" s="6"/>
      <c r="I78" s="13"/>
      <c r="J78" s="4"/>
    </row>
    <row r="79" spans="2:10" ht="15.75" customHeight="1" x14ac:dyDescent="0.25">
      <c r="B79" s="5"/>
      <c r="C79" s="11"/>
      <c r="D79" s="18"/>
      <c r="E79" s="18"/>
      <c r="F79" s="6"/>
      <c r="G79" s="18"/>
      <c r="H79" s="6"/>
      <c r="I79" s="13"/>
      <c r="J79" s="4"/>
    </row>
    <row r="80" spans="2:10" ht="15.75" customHeight="1" x14ac:dyDescent="0.25">
      <c r="B80" s="5"/>
      <c r="C80" s="11"/>
      <c r="D80" s="18"/>
      <c r="E80" s="18"/>
      <c r="F80" s="6"/>
      <c r="G80" s="18"/>
      <c r="H80" s="6"/>
      <c r="I80" s="13"/>
      <c r="J80" s="4"/>
    </row>
    <row r="81" spans="2:10" ht="15.75" customHeight="1" x14ac:dyDescent="0.25">
      <c r="B81" s="5"/>
      <c r="C81" s="11"/>
      <c r="D81" s="18"/>
      <c r="E81" s="18"/>
      <c r="F81" s="6"/>
      <c r="G81" s="18"/>
      <c r="H81" s="6"/>
      <c r="I81" s="13"/>
      <c r="J81" s="4"/>
    </row>
    <row r="82" spans="2:10" ht="15.75" customHeight="1" x14ac:dyDescent="0.25"/>
    <row r="83" spans="2:10" ht="15.75" customHeight="1" x14ac:dyDescent="0.25"/>
    <row r="84" spans="2:10" ht="15.75" customHeight="1" x14ac:dyDescent="0.25"/>
    <row r="85" spans="2:10" ht="15.75" customHeight="1" x14ac:dyDescent="0.25"/>
    <row r="86" spans="2:10" ht="15.75" customHeight="1" x14ac:dyDescent="0.25"/>
    <row r="87" spans="2:10" ht="15.75" customHeight="1" x14ac:dyDescent="0.25"/>
    <row r="88" spans="2:10" ht="15.75" customHeight="1" x14ac:dyDescent="0.25"/>
    <row r="89" spans="2:10" ht="15.75" customHeight="1" x14ac:dyDescent="0.25"/>
    <row r="90" spans="2:10" ht="15.75" customHeight="1" x14ac:dyDescent="0.25"/>
    <row r="91" spans="2:10" ht="15.75" customHeight="1" x14ac:dyDescent="0.25"/>
    <row r="92" spans="2:10" ht="15.75" customHeight="1" x14ac:dyDescent="0.25"/>
    <row r="93" spans="2:10" ht="15.75" customHeight="1" x14ac:dyDescent="0.25"/>
    <row r="94" spans="2:10" ht="15.75" customHeight="1" x14ac:dyDescent="0.25"/>
    <row r="95" spans="2:10" ht="15.75" customHeight="1" x14ac:dyDescent="0.25"/>
    <row r="96" spans="2:10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</sheetData>
  <autoFilter ref="B5:B18" xr:uid="{00000000-0009-0000-0000-000000000000}">
    <sortState xmlns:xlrd2="http://schemas.microsoft.com/office/spreadsheetml/2017/richdata2" ref="B5:B18">
      <sortCondition ref="B5:B18"/>
    </sortState>
  </autoFilter>
  <conditionalFormatting sqref="C1:C1048576">
    <cfRule type="cellIs" dxfId="1" priority="1" operator="equal">
      <formula>"Achat"</formula>
    </cfRule>
    <cfRule type="cellIs" dxfId="0" priority="2" operator="equal">
      <formula>"Vente"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PRU</vt:lpstr>
      <vt:lpstr>Historique_Ordres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Rayan LEKMINE</dc:creator>
  <cp:lastModifiedBy>Rayan LEKMINE</cp:lastModifiedBy>
  <dcterms:created xsi:type="dcterms:W3CDTF">2025-11-08T19:50:18Z</dcterms:created>
  <dcterms:modified xsi:type="dcterms:W3CDTF">2026-01-31T12:21:35Z</dcterms:modified>
</cp:coreProperties>
</file>